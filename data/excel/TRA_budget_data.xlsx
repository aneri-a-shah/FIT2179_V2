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eri/monash/FIT2179_V2/data/"/>
    </mc:Choice>
  </mc:AlternateContent>
  <xr:revisionPtr revIDLastSave="0" documentId="8_{9B1D2A97-92CC-9E46-A0A4-E92D86907019}" xr6:coauthVersionLast="47" xr6:coauthVersionMax="47" xr10:uidLastSave="{00000000-0000-0000-0000-000000000000}"/>
  <bookViews>
    <workbookView xWindow="3880" yWindow="1780" windowWidth="24840" windowHeight="16220" xr2:uid="{273787FA-1EBC-8F49-85D8-13932232F96D}"/>
  </bookViews>
  <sheets>
    <sheet name="Sheet1" sheetId="1" r:id="rId1"/>
  </sheets>
  <externalReferences>
    <externalReference r:id="rId2"/>
  </externalReferenc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21" i="1" l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<sst xmlns="http://schemas.openxmlformats.org/spreadsheetml/2006/main" count="43" uniqueCount="12">
  <si>
    <t>category</t>
  </si>
  <si>
    <t>quarter</t>
  </si>
  <si>
    <t>amount</t>
  </si>
  <si>
    <t>Transport</t>
  </si>
  <si>
    <t>Accommodation</t>
  </si>
  <si>
    <t>Food &amp; Drink</t>
  </si>
  <si>
    <t>Shopping</t>
  </si>
  <si>
    <t>Activities &amp; Other</t>
  </si>
  <si>
    <t>March</t>
  </si>
  <si>
    <t>June</t>
  </si>
  <si>
    <t>September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</si>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</sst>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Downloads/fit2179%20a2/domestic-tourism-statistics-december-quarter-2025-compared-to-december-quarter-2024.xlsx" TargetMode="External"/><Relationship Id="rId2" Type="http://schemas.openxmlformats.org/officeDocument/2006/relationships/externalLinkPath" Target="/Users/aneri/Downloads/fit2179%20a2/domestic-tourism-statistics-december-quarter-2025-compared-to-december-quarter-2024.xlsx" TargetMode="External"/><Relationship Id="rId1" Type="http://schemas.openxmlformats.org/officeDocument/2006/relationships/externalLinkPath" Target="/Users/aneri/Downloads/fit2179%20a2/domestic-tourism-statistics-december-quarter-2025-compared-to-december-quarter-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Content"/>
      <sheetName val="Table 1a"/>
      <sheetName val="Table 1b"/>
      <sheetName val="Table 2a"/>
      <sheetName val="Table 2b"/>
      <sheetName val="Table 3b"/>
      <sheetName val="Table 4"/>
      <sheetName val="Table 5b"/>
      <sheetName val="Table 6b"/>
      <sheetName val="Table 7b"/>
      <sheetName val="Table 8"/>
      <sheetName val="Table 9b"/>
      <sheetName val="Table 10b"/>
      <sheetName val="Table 11b"/>
      <sheetName val="Table 12"/>
      <sheetName val="Table 13"/>
      <sheetName val="Table 14"/>
      <sheetName val="Refere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6">
          <cell r="B6">
            <v>4129.9080000000004</v>
          </cell>
          <cell r="C6">
            <v>4180.6080000000002</v>
          </cell>
          <cell r="D6">
            <v>4604.9290000000001</v>
          </cell>
          <cell r="E6">
            <v>4744.1660000000002</v>
          </cell>
        </row>
        <row r="7">
          <cell r="B7">
            <v>369.31599999999997</v>
          </cell>
          <cell r="C7">
            <v>398.30500000000001</v>
          </cell>
          <cell r="D7">
            <v>468.34300000000002</v>
          </cell>
          <cell r="E7">
            <v>537.06600000000003</v>
          </cell>
        </row>
        <row r="8">
          <cell r="B8">
            <v>306.06299999999999</v>
          </cell>
          <cell r="C8">
            <v>340.541</v>
          </cell>
          <cell r="D8">
            <v>333.185</v>
          </cell>
          <cell r="E8">
            <v>363.89600000000002</v>
          </cell>
        </row>
        <row r="9">
          <cell r="B9">
            <v>521.77599999999995</v>
          </cell>
          <cell r="C9">
            <v>510.01799999999997</v>
          </cell>
          <cell r="D9">
            <v>541.57899999999995</v>
          </cell>
          <cell r="E9">
            <v>557.67899999999997</v>
          </cell>
        </row>
        <row r="10">
          <cell r="B10">
            <v>5440.1540000000005</v>
          </cell>
          <cell r="C10">
            <v>5369.9639999999999</v>
          </cell>
          <cell r="D10">
            <v>5636.8410000000003</v>
          </cell>
          <cell r="E10">
            <v>5965.9579999999996</v>
          </cell>
        </row>
        <row r="11">
          <cell r="B11">
            <v>291.27800000000002</v>
          </cell>
          <cell r="C11">
            <v>396.26299999999998</v>
          </cell>
          <cell r="D11">
            <v>522.35299999999995</v>
          </cell>
          <cell r="E11">
            <v>602.76400000000001</v>
          </cell>
        </row>
        <row r="12">
          <cell r="B12">
            <v>366.92599999999999</v>
          </cell>
          <cell r="C12">
            <v>383.60700000000003</v>
          </cell>
          <cell r="D12">
            <v>427.87700000000001</v>
          </cell>
          <cell r="E12">
            <v>497.50299999999999</v>
          </cell>
        </row>
        <row r="13">
          <cell r="B13">
            <v>222.45500000000001</v>
          </cell>
          <cell r="C13">
            <v>225.75299999999999</v>
          </cell>
          <cell r="D13">
            <v>230.87899999999999</v>
          </cell>
          <cell r="E13">
            <v>241.31299999999999</v>
          </cell>
        </row>
        <row r="14">
          <cell r="B14">
            <v>1022.534</v>
          </cell>
          <cell r="C14">
            <v>946.29300000000001</v>
          </cell>
          <cell r="D14">
            <v>985.78800000000001</v>
          </cell>
          <cell r="E14">
            <v>1057.162</v>
          </cell>
        </row>
        <row r="15">
          <cell r="B15">
            <v>8073.701</v>
          </cell>
          <cell r="C15">
            <v>6798.2640000000001</v>
          </cell>
          <cell r="D15">
            <v>6789.3729999999996</v>
          </cell>
          <cell r="E15">
            <v>7492.1930000000002</v>
          </cell>
        </row>
        <row r="16">
          <cell r="B16">
            <v>2174.828</v>
          </cell>
          <cell r="C16">
            <v>2029.932</v>
          </cell>
          <cell r="D16">
            <v>2185.1170000000002</v>
          </cell>
          <cell r="E16">
            <v>2416.7829999999999</v>
          </cell>
        </row>
        <row r="17">
          <cell r="B17">
            <v>2011.684</v>
          </cell>
          <cell r="C17">
            <v>1891.4179999999999</v>
          </cell>
          <cell r="D17">
            <v>1928.27</v>
          </cell>
          <cell r="E17">
            <v>1979.4849999999999</v>
          </cell>
        </row>
        <row r="18">
          <cell r="B18">
            <v>7027.0290000000005</v>
          </cell>
          <cell r="C18">
            <v>6475.299</v>
          </cell>
          <cell r="D18">
            <v>6625.9260000000004</v>
          </cell>
          <cell r="E18">
            <v>7016.0429999999997</v>
          </cell>
        </row>
        <row r="19">
          <cell r="B19">
            <v>4376.8850000000002</v>
          </cell>
          <cell r="C19">
            <v>4124.3760000000002</v>
          </cell>
          <cell r="D19">
            <v>4186.6490000000003</v>
          </cell>
          <cell r="E19">
            <v>3929.44</v>
          </cell>
        </row>
        <row r="20">
          <cell r="B20">
            <v>1486.347</v>
          </cell>
          <cell r="C20">
            <v>1240.7560000000001</v>
          </cell>
          <cell r="D20">
            <v>1227.6389999999999</v>
          </cell>
          <cell r="E20">
            <v>1255.692</v>
          </cell>
        </row>
        <row r="21">
          <cell r="B21">
            <v>143.85599999999999</v>
          </cell>
          <cell r="C21">
            <v>155.73599999999999</v>
          </cell>
          <cell r="D21">
            <v>191.33099999999999</v>
          </cell>
          <cell r="E21">
            <v>202.13399999999999</v>
          </cell>
        </row>
        <row r="22">
          <cell r="B22">
            <v>83.524000000000001</v>
          </cell>
          <cell r="C22">
            <v>85.402000000000001</v>
          </cell>
          <cell r="D22">
            <v>77.347999999999999</v>
          </cell>
          <cell r="E22">
            <v>67.555999999999997</v>
          </cell>
        </row>
        <row r="23">
          <cell r="B23">
            <v>159.35</v>
          </cell>
          <cell r="C23">
            <v>172.184</v>
          </cell>
          <cell r="D23">
            <v>188.858</v>
          </cell>
          <cell r="E23">
            <v>204.048</v>
          </cell>
        </row>
        <row r="24">
          <cell r="B24">
            <v>670.673</v>
          </cell>
          <cell r="C24">
            <v>649.66</v>
          </cell>
          <cell r="D24">
            <v>753.88300000000004</v>
          </cell>
          <cell r="E24">
            <v>833.51300000000003</v>
          </cell>
        </row>
      </sheetData>
      <sheetData sheetId="15"/>
      <sheetData sheetId="16"/>
      <sheetData sheetId="1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82839-F07F-7D47-B95C-F08ED9F327B4}">
  <dimension ref="A1:C21"/>
  <sheetViews>
    <sheetView tabSelected="1" workbookViewId="0">
      <selection activeCell="C6" sqref="C6"/>
    </sheetView>
  </sheetViews>
  <sheetFormatPr baseColWidth="10" defaultRowHeight="16" x14ac:dyDescent="0.2"/>
  <cols>
    <col min="1" max="1" width="15.6640625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 t="s">
        <v>8</v>
      </c>
      <c r="C2" s="1">
        <f>SUM('[1]Table 12'!$B$6,'[1]Table 12'!$B$9,'[1]Table 12'!$B$10,'[1]Table 12'!$B$11,'[1]Table 12'!$B$12,'[1]Table 12'!$B$13,'[1]Table 12'!$B$14)</f>
        <v>11995.030999999999</v>
      </c>
    </row>
    <row r="3" spans="1:3" x14ac:dyDescent="0.2">
      <c r="A3" t="s">
        <v>3</v>
      </c>
      <c r="B3" t="s">
        <v>9</v>
      </c>
      <c r="C3" s="1">
        <f>SUM('[1]Table 12'!$C$6,'[1]Table 12'!$C$9:$C$14)</f>
        <v>12012.506000000001</v>
      </c>
    </row>
    <row r="4" spans="1:3" x14ac:dyDescent="0.2">
      <c r="A4" t="s">
        <v>3</v>
      </c>
      <c r="B4" t="s">
        <v>10</v>
      </c>
      <c r="C4" s="1">
        <f>SUM('[1]Table 12'!$D$6,'[1]Table 12'!$D$9:$D$14)</f>
        <v>12950.246000000001</v>
      </c>
    </row>
    <row r="5" spans="1:3" x14ac:dyDescent="0.2">
      <c r="A5" t="s">
        <v>3</v>
      </c>
      <c r="B5" t="s">
        <v>11</v>
      </c>
      <c r="C5" s="1">
        <f>SUM('[1]Table 12'!$E$6,'[1]Table 12'!$E$9:$E$14)</f>
        <v>13666.545</v>
      </c>
    </row>
    <row r="6" spans="1:3" x14ac:dyDescent="0.2">
      <c r="A6" t="s">
        <v>4</v>
      </c>
      <c r="B6" t="s">
        <v>8</v>
      </c>
      <c r="C6" s="1">
        <f>'[1]Table 12'!$B$15</f>
        <v>8073.701</v>
      </c>
    </row>
    <row r="7" spans="1:3" x14ac:dyDescent="0.2">
      <c r="A7" t="s">
        <v>4</v>
      </c>
      <c r="B7" t="s">
        <v>9</v>
      </c>
      <c r="C7" s="1">
        <f>'[1]Table 12'!$C$15</f>
        <v>6798.2640000000001</v>
      </c>
    </row>
    <row r="8" spans="1:3" x14ac:dyDescent="0.2">
      <c r="A8" t="s">
        <v>4</v>
      </c>
      <c r="B8" t="s">
        <v>10</v>
      </c>
      <c r="C8" s="1">
        <f>'[1]Table 12'!$D$15</f>
        <v>6789.3729999999996</v>
      </c>
    </row>
    <row r="9" spans="1:3" x14ac:dyDescent="0.2">
      <c r="A9" t="s">
        <v>4</v>
      </c>
      <c r="B9" t="s">
        <v>11</v>
      </c>
      <c r="C9" s="1">
        <f>'[1]Table 12'!$E$15</f>
        <v>7492.1930000000002</v>
      </c>
    </row>
    <row r="10" spans="1:3" x14ac:dyDescent="0.2">
      <c r="A10" t="s">
        <v>5</v>
      </c>
      <c r="B10" t="s">
        <v>8</v>
      </c>
      <c r="C10" s="1">
        <f>SUM('[1]Table 12'!$B$16,'[1]Table 12'!$B$17,'[1]Table 12'!$B$18)</f>
        <v>11213.541000000001</v>
      </c>
    </row>
    <row r="11" spans="1:3" x14ac:dyDescent="0.2">
      <c r="A11" t="s">
        <v>5</v>
      </c>
      <c r="B11" t="s">
        <v>9</v>
      </c>
      <c r="C11" s="1">
        <f>SUM('[1]Table 12'!$C$16:$C$18)</f>
        <v>10396.648999999999</v>
      </c>
    </row>
    <row r="12" spans="1:3" x14ac:dyDescent="0.2">
      <c r="A12" t="s">
        <v>5</v>
      </c>
      <c r="B12" t="s">
        <v>10</v>
      </c>
      <c r="C12" s="1">
        <f>SUM('[1]Table 12'!$D$16:$D$18)</f>
        <v>10739.313000000002</v>
      </c>
    </row>
    <row r="13" spans="1:3" x14ac:dyDescent="0.2">
      <c r="A13" t="s">
        <v>5</v>
      </c>
      <c r="B13" t="s">
        <v>11</v>
      </c>
      <c r="C13" s="1">
        <f>SUM('[1]Table 12'!$E$16:$E$18)</f>
        <v>11412.311</v>
      </c>
    </row>
    <row r="14" spans="1:3" x14ac:dyDescent="0.2">
      <c r="A14" t="s">
        <v>6</v>
      </c>
      <c r="B14" t="s">
        <v>8</v>
      </c>
      <c r="C14" s="1">
        <f>'[1]Table 12'!$B$19</f>
        <v>4376.8850000000002</v>
      </c>
    </row>
    <row r="15" spans="1:3" x14ac:dyDescent="0.2">
      <c r="A15" t="s">
        <v>6</v>
      </c>
      <c r="B15" t="s">
        <v>9</v>
      </c>
      <c r="C15" s="1">
        <f>'[1]Table 12'!$C$19</f>
        <v>4124.3760000000002</v>
      </c>
    </row>
    <row r="16" spans="1:3" x14ac:dyDescent="0.2">
      <c r="A16" t="s">
        <v>6</v>
      </c>
      <c r="B16" t="s">
        <v>10</v>
      </c>
      <c r="C16" s="1">
        <f>'[1]Table 12'!$D$19</f>
        <v>4186.6490000000003</v>
      </c>
    </row>
    <row r="17" spans="1:3" x14ac:dyDescent="0.2">
      <c r="A17" t="s">
        <v>6</v>
      </c>
      <c r="B17" t="s">
        <v>11</v>
      </c>
      <c r="C17" s="1">
        <f>'[1]Table 12'!$E$19</f>
        <v>3929.44</v>
      </c>
    </row>
    <row r="18" spans="1:3" x14ac:dyDescent="0.2">
      <c r="A18" t="s">
        <v>7</v>
      </c>
      <c r="B18" t="s">
        <v>8</v>
      </c>
      <c r="C18" s="1">
        <f>SUM('[1]Table 12'!$B$7:$B$8,'[1]Table 12'!$B$20:$B$24)</f>
        <v>3219.128999999999</v>
      </c>
    </row>
    <row r="19" spans="1:3" x14ac:dyDescent="0.2">
      <c r="A19" t="s">
        <v>7</v>
      </c>
      <c r="B19" t="s">
        <v>9</v>
      </c>
      <c r="C19" s="1">
        <f>SUM('[1]Table 12'!$C$7:$C$8,'[1]Table 12'!$C$20:$C$24)</f>
        <v>3042.5840000000003</v>
      </c>
    </row>
    <row r="20" spans="1:3" x14ac:dyDescent="0.2">
      <c r="A20" t="s">
        <v>7</v>
      </c>
      <c r="B20" t="s">
        <v>10</v>
      </c>
      <c r="C20" s="1">
        <f>SUM('[1]Table 12'!$D$7:$D$8,'[1]Table 12'!$D$20:$D$24)</f>
        <v>3240.5870000000004</v>
      </c>
    </row>
    <row r="21" spans="1:3" x14ac:dyDescent="0.2">
      <c r="A21" t="s">
        <v>7</v>
      </c>
      <c r="B21" t="s">
        <v>11</v>
      </c>
      <c r="C21" s="1">
        <f>SUM('[1]Table 12'!$E$7:$E$8,'[1]Table 12'!$E$20:$E$24)</f>
        <v>3463.9049999999997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Aneri Shah</dc:creator>
  <cp:lastModifiedBy>Aneri Shah</cp:lastModifiedBy>
  <dcterms:created xsi:type="dcterms:W3CDTF">2026-05-31T06:09:51Z</dcterms:created>
  <dcterms:modified xsi:type="dcterms:W3CDTF">2026-05-31T06:25:45Z</dcterms:modified>
</cp:coreProperties>
</file>