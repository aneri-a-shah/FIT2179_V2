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ri/monash/FIT2179_V2/data/"/>
    </mc:Choice>
  </mc:AlternateContent>
  <xr:revisionPtr revIDLastSave="0" documentId="8_{C84FF229-878B-D646-AC5F-2507E165E3B1}" xr6:coauthVersionLast="47" xr6:coauthVersionMax="47" xr10:uidLastSave="{00000000-0000-0000-0000-000000000000}"/>
  <bookViews>
    <workbookView xWindow="2280" yWindow="2760" windowWidth="26440" windowHeight="15240" xr2:uid="{806A3178-9777-D64B-93C5-A64589A54AAB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4" i="1"/>
  <c r="B3" i="1"/>
  <c r="B2" i="1" a="1"/>
  <c r="B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<sst xmlns="http://schemas.openxmlformats.org/spreadsheetml/2006/main" count="6" uniqueCount="6">
  <si>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purpose</t>
  </si>
  <si>
    <t>trips</t>
  </si>
  <si>
    <t>Holiday</t>
  </si>
  <si>
    <t>Visiting Friends and Relatives</t>
  </si>
  <si>
    <t>Business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</si>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</sst>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domestic-tourism-statistics-december-quarter-2025-compared-to-december-quarter-2024.xlsx" TargetMode="External"/><Relationship Id="rId2" Type="http://schemas.openxmlformats.org/officeDocument/2006/relationships/externalLinkPath" Target="/Users/aneri/Downloads/fit2179%20a2/domestic-tourism-statistics-december-quarter-2025-compared-to-december-quarter-2024.xlsx" TargetMode="External"/><Relationship Id="rId1" Type="http://schemas.openxmlformats.org/officeDocument/2006/relationships/externalLinkPath" Target="/Users/aneri/Downloads/fit2179%20a2/domestic-tourism-statistics-december-quarter-2025-compared-to-december-quarter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ent"/>
      <sheetName val="Table 1a"/>
      <sheetName val="Table 1b"/>
      <sheetName val="Table 2a"/>
      <sheetName val="Table 2b"/>
      <sheetName val="Table 3b"/>
      <sheetName val="Table 4"/>
      <sheetName val="Table 5b"/>
      <sheetName val="Table 6b"/>
      <sheetName val="Table 7b"/>
      <sheetName val="Table 8"/>
      <sheetName val="Table 9b"/>
      <sheetName val="Table 10b"/>
      <sheetName val="Table 11b"/>
      <sheetName val="Table 12"/>
      <sheetName val="Table 13"/>
      <sheetName val="Table 14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B6">
            <v>44268.428</v>
          </cell>
          <cell r="C6">
            <v>46812.966</v>
          </cell>
          <cell r="D6">
            <v>48862.281000000003</v>
          </cell>
          <cell r="E6">
            <v>50298.675000000003</v>
          </cell>
        </row>
        <row r="7">
          <cell r="B7">
            <v>30824.993999999999</v>
          </cell>
          <cell r="C7">
            <v>31454.210999999999</v>
          </cell>
          <cell r="D7">
            <v>32428.240000000002</v>
          </cell>
          <cell r="E7">
            <v>33068.767</v>
          </cell>
        </row>
        <row r="8">
          <cell r="B8">
            <v>9560.5959999999995</v>
          </cell>
          <cell r="C8">
            <v>8661.4330000000009</v>
          </cell>
          <cell r="D8">
            <v>7966.009</v>
          </cell>
          <cell r="E8">
            <v>7329.8419999999996</v>
          </cell>
        </row>
        <row r="9">
          <cell r="B9">
            <v>9742.3989999999994</v>
          </cell>
          <cell r="C9">
            <v>10058.57</v>
          </cell>
          <cell r="D9">
            <v>10447.781000000001</v>
          </cell>
          <cell r="E9">
            <v>10117.950999999999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0EC3-2ED0-D94D-9FE2-7A7265410983}">
  <dimension ref="A1:B5"/>
  <sheetViews>
    <sheetView tabSelected="1" workbookViewId="0">
      <selection activeCell="B6" sqref="B6"/>
    </sheetView>
  </sheetViews>
  <sheetFormatPr baseColWidth="10" defaultRowHeight="16" x14ac:dyDescent="0.2"/>
  <cols>
    <col min="1" max="1" width="25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cm="1">
        <f t="array" ref="B2">SUM('[1]Table 11b'!$B$6:$E$6*1000)</f>
        <v>190242350</v>
      </c>
    </row>
    <row r="3" spans="1:2" x14ac:dyDescent="0.2">
      <c r="A3" t="s">
        <v>3</v>
      </c>
      <c r="B3">
        <f>SUM('[1]Table 11b'!$B$7:$E$7)*1000</f>
        <v>127776212</v>
      </c>
    </row>
    <row r="4" spans="1:2" x14ac:dyDescent="0.2">
      <c r="A4" t="s">
        <v>4</v>
      </c>
      <c r="B4">
        <f>SUM('[1]Table 11b'!$B$8:$E$8)*1000</f>
        <v>33517879.999999996</v>
      </c>
    </row>
    <row r="5" spans="1:2" x14ac:dyDescent="0.2">
      <c r="A5" t="s">
        <v>5</v>
      </c>
      <c r="B5">
        <f>SUM('[1]Table 11b'!$B$9:$E$9)*1000</f>
        <v>40366701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Aneri Shah</dc:creator>
  <cp:lastModifiedBy>Aneri Shah</cp:lastModifiedBy>
  <dcterms:created xsi:type="dcterms:W3CDTF">2026-05-31T06:45:32Z</dcterms:created>
  <dcterms:modified xsi:type="dcterms:W3CDTF">2026-05-31T06:49:11Z</dcterms:modified>
</cp:coreProperties>
</file>