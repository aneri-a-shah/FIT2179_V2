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ri/monash/FIT2179_V2/data/"/>
    </mc:Choice>
  </mc:AlternateContent>
  <xr:revisionPtr revIDLastSave="0" documentId="8_{63A83216-BF02-2F42-B170-308AFE5A3E1C}" xr6:coauthVersionLast="47" xr6:coauthVersionMax="47" xr10:uidLastSave="{00000000-0000-0000-0000-000000000000}"/>
  <bookViews>
    <workbookView xWindow="1880" yWindow="2260" windowWidth="26840" windowHeight="15740" xr2:uid="{FC3D48B7-021E-8842-AC10-F4438FFE8109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11" i="1"/>
  <c r="C15" i="1"/>
  <c r="C14" i="1"/>
  <c r="C13" i="1"/>
  <c r="C10" i="1"/>
  <c r="C9" i="1"/>
  <c r="C5" i="1"/>
  <c r="C4" i="1"/>
  <c r="C8" i="1"/>
  <c r="C7" i="1"/>
  <c r="C6" i="1"/>
  <c r="C3" i="1"/>
  <c r="C2" i="1"/>
</calcChain>
</file>

<file path=xl/sharedStrings.xml><?xml version="1.0" encoding="utf-8"?>
<sst xmlns="http://schemas.openxmlformats.org/spreadsheetml/2006/main" count="17" uniqueCount="5">
  <si>
    <t>year</t>
  </si>
  <si>
    <t>trip_type</t>
  </si>
  <si>
    <t>trips</t>
  </si>
  <si>
    <t>Overnight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</si>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</sst>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nvs-tourism-results-ye-jun-2020.xlsx" TargetMode="External"/><Relationship Id="rId2" Type="http://schemas.openxmlformats.org/officeDocument/2006/relationships/externalLinkPath" Target="/Users/aneri/Downloads/fit2179%20a2/tra-nvs-tourism-results-ye-jun-2020.xlsx" TargetMode="External"/><Relationship Id="rId1" Type="http://schemas.openxmlformats.org/officeDocument/2006/relationships/externalLinkPath" Target="/Users/aneri/Downloads/fit2179%20a2/tra-nvs-tourism-results-ye-jun-20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tra-nvs-quarterly-june-2024-2023.xlsx" TargetMode="External"/><Relationship Id="rId2" Type="http://schemas.openxmlformats.org/officeDocument/2006/relationships/externalLinkPath" Target="/Users/aneri/Downloads/fit2179%20a2/tra-nvs-quarterly-june-2024-2023.xlsx" TargetMode="External"/><Relationship Id="rId1" Type="http://schemas.openxmlformats.org/officeDocument/2006/relationships/externalLinkPath" Target="/Users/aneri/Downloads/fit2179%20a2/tra-nvs-quarterly-june-2024-2023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t2179%20a2/domestic-tourism-statistics-december-quarter-2025-compared-to-december-quarter-2024.xlsx" TargetMode="External"/><Relationship Id="rId2" Type="http://schemas.openxmlformats.org/officeDocument/2006/relationships/externalLinkPath" Target="/Users/aneri/Downloads/fit2179%20a2/domestic-tourism-statistics-december-quarter-2025-compared-to-december-quarter-2024.xlsx" TargetMode="External"/><Relationship Id="rId1" Type="http://schemas.openxmlformats.org/officeDocument/2006/relationships/externalLinkPath" Target="/Users/aneri/Downloads/fit2179%20a2/domestic-tourism-statistics-december-quarter-2025-compared-to-december-quarter-202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tra-nvs-tourism-results-ye-dec-2022.xlsx" TargetMode="External"/><Relationship Id="rId2" Type="http://schemas.openxmlformats.org/officeDocument/2006/relationships/externalLinkPath" Target="/Users/aneri/Downloads/tra-nvs-tourism-results-ye-dec-2022.xlsx" TargetMode="External"/><Relationship Id="rId1" Type="http://schemas.openxmlformats.org/officeDocument/2006/relationships/externalLinkPath" Target="/Users/aneri/Downloads/tra-nvs-tourism-results-ye-dec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>
        <row r="9">
          <cell r="J9">
            <v>113320.334</v>
          </cell>
        </row>
        <row r="10">
          <cell r="J10">
            <v>92035.384999999995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2">
          <cell r="B62">
            <v>227319.34599999999</v>
          </cell>
          <cell r="C62">
            <v>206542.796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3c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>
        <row r="7">
          <cell r="J7">
            <v>111392.556</v>
          </cell>
        </row>
        <row r="8">
          <cell r="J8">
            <v>113756.617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9">
          <cell r="B59">
            <v>219451.495</v>
          </cell>
          <cell r="C59">
            <v>205065.86600000001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ent"/>
      <sheetName val="Table 1a"/>
      <sheetName val="Table 1b"/>
      <sheetName val="Table 2a"/>
      <sheetName val="Table 2b"/>
      <sheetName val="Table 3b"/>
      <sheetName val="Table 4"/>
      <sheetName val="Table 5b"/>
      <sheetName val="Table 6b"/>
      <sheetName val="Table 7b"/>
      <sheetName val="Table 8"/>
      <sheetName val="Table 9b"/>
      <sheetName val="Table 10b"/>
      <sheetName val="Table 11b"/>
      <sheetName val="Table 12"/>
      <sheetName val="Table 13"/>
      <sheetName val="Table 14"/>
      <sheetName val="Reference"/>
    </sheetNames>
    <sheetDataSet>
      <sheetData sheetId="0"/>
      <sheetData sheetId="1"/>
      <sheetData sheetId="2">
        <row r="14">
          <cell r="B14">
            <v>28797.165000000001</v>
          </cell>
          <cell r="C14">
            <v>27641.983</v>
          </cell>
          <cell r="D14">
            <v>27013.473999999998</v>
          </cell>
          <cell r="E14">
            <v>29537.54</v>
          </cell>
        </row>
      </sheetData>
      <sheetData sheetId="3"/>
      <sheetData sheetId="4"/>
      <sheetData sheetId="5"/>
      <sheetData sheetId="6"/>
      <sheetData sheetId="7">
        <row r="14">
          <cell r="B14">
            <v>65346.669000000002</v>
          </cell>
          <cell r="C14">
            <v>69015.34</v>
          </cell>
          <cell r="D14">
            <v>72261.517000000007</v>
          </cell>
          <cell r="E14">
            <v>70742.112999999998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able 1a"/>
      <sheetName val="Table 1b"/>
      <sheetName val="Table 2a"/>
      <sheetName val="Table 2b"/>
      <sheetName val="Table 3a"/>
      <sheetName val="Table 3b"/>
      <sheetName val="Table 3c"/>
      <sheetName val="Table 4"/>
      <sheetName val="Table 5"/>
      <sheetName val="Table 6"/>
      <sheetName val="Table 7"/>
      <sheetName val="Table 8"/>
      <sheetName val="Table 9"/>
      <sheetName val="Table 10"/>
      <sheetName val="Table 13"/>
      <sheetName val="Table 14"/>
      <sheetName val="Table 15"/>
      <sheetName val="Table 16"/>
      <sheetName val="Table 17"/>
      <sheetName val="Table 18"/>
      <sheetName val="Reference"/>
    </sheetNames>
    <sheetDataSet>
      <sheetData sheetId="0"/>
      <sheetData sheetId="1">
        <row r="7">
          <cell r="J7">
            <v>82074.089000000007</v>
          </cell>
        </row>
        <row r="8">
          <cell r="J8">
            <v>108211.791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9">
          <cell r="B59">
            <v>160468.905</v>
          </cell>
          <cell r="C59">
            <v>201414.16699999999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01E51-6EC8-7549-83BF-E56AFA4E6DE0}">
  <dimension ref="A1:C15"/>
  <sheetViews>
    <sheetView tabSelected="1" workbookViewId="0">
      <selection activeCell="G9" sqref="G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2019</v>
      </c>
      <c r="B2" t="s">
        <v>3</v>
      </c>
      <c r="C2">
        <f>'[1]Table 1a'!$J$9*1000</f>
        <v>113320334</v>
      </c>
    </row>
    <row r="3" spans="1:3" x14ac:dyDescent="0.2">
      <c r="A3">
        <v>2020</v>
      </c>
      <c r="B3" t="s">
        <v>3</v>
      </c>
      <c r="C3">
        <f>'[1]Table 1a'!$J$10*1000</f>
        <v>92035385</v>
      </c>
    </row>
    <row r="4" spans="1:3" x14ac:dyDescent="0.2">
      <c r="A4">
        <v>2021</v>
      </c>
      <c r="B4" t="s">
        <v>3</v>
      </c>
      <c r="C4">
        <f>'[4]Table 1a'!$J$7*1000</f>
        <v>82074089</v>
      </c>
    </row>
    <row r="5" spans="1:3" x14ac:dyDescent="0.2">
      <c r="A5">
        <v>2022</v>
      </c>
      <c r="B5" t="s">
        <v>3</v>
      </c>
      <c r="C5">
        <f>'[4]Table 1a'!$J$8*1000</f>
        <v>108211791</v>
      </c>
    </row>
    <row r="6" spans="1:3" x14ac:dyDescent="0.2">
      <c r="A6">
        <v>2023</v>
      </c>
      <c r="B6" t="s">
        <v>3</v>
      </c>
      <c r="C6">
        <f>'[2]Table 1a'!$J$7*1000</f>
        <v>111392556</v>
      </c>
    </row>
    <row r="7" spans="1:3" x14ac:dyDescent="0.2">
      <c r="A7">
        <v>2024</v>
      </c>
      <c r="B7" t="s">
        <v>3</v>
      </c>
      <c r="C7">
        <f>'[2]Table 1a'!$J$8*1000</f>
        <v>113756617</v>
      </c>
    </row>
    <row r="8" spans="1:3" x14ac:dyDescent="0.2">
      <c r="A8">
        <v>2025</v>
      </c>
      <c r="B8" t="s">
        <v>3</v>
      </c>
      <c r="C8">
        <f>SUM('[3]Table 1b'!$B$14:$E$14)*1000</f>
        <v>112990162.00000001</v>
      </c>
    </row>
    <row r="9" spans="1:3" x14ac:dyDescent="0.2">
      <c r="A9">
        <v>2019</v>
      </c>
      <c r="B9" t="s">
        <v>4</v>
      </c>
      <c r="C9">
        <f>'[1]Table 13'!$B$62*1000</f>
        <v>227319346</v>
      </c>
    </row>
    <row r="10" spans="1:3" x14ac:dyDescent="0.2">
      <c r="A10">
        <v>2020</v>
      </c>
      <c r="B10" t="s">
        <v>4</v>
      </c>
      <c r="C10">
        <f>'[1]Table 13'!$C$62*1000</f>
        <v>206542796</v>
      </c>
    </row>
    <row r="11" spans="1:3" x14ac:dyDescent="0.2">
      <c r="A11">
        <v>2021</v>
      </c>
      <c r="B11" t="s">
        <v>4</v>
      </c>
      <c r="C11">
        <f>'[4]Table 13'!$B$59*1000</f>
        <v>160468905</v>
      </c>
    </row>
    <row r="12" spans="1:3" x14ac:dyDescent="0.2">
      <c r="A12">
        <v>2022</v>
      </c>
      <c r="B12" t="s">
        <v>4</v>
      </c>
      <c r="C12">
        <f>'[4]Table 13'!$C$59*1000</f>
        <v>201414167</v>
      </c>
    </row>
    <row r="13" spans="1:3" x14ac:dyDescent="0.2">
      <c r="A13">
        <v>2023</v>
      </c>
      <c r="B13" t="s">
        <v>4</v>
      </c>
      <c r="C13">
        <f>'[2]Table 13'!$B$59*1000</f>
        <v>219451495</v>
      </c>
    </row>
    <row r="14" spans="1:3" x14ac:dyDescent="0.2">
      <c r="A14">
        <v>2024</v>
      </c>
      <c r="B14" t="s">
        <v>4</v>
      </c>
      <c r="C14">
        <f>'[2]Table 13'!$C$59*1000</f>
        <v>205065866</v>
      </c>
    </row>
    <row r="15" spans="1:3" x14ac:dyDescent="0.2">
      <c r="A15">
        <v>2025</v>
      </c>
      <c r="B15" t="s">
        <v>4</v>
      </c>
      <c r="C15">
        <f>SUM('[3]Table 5b'!$B$14:$E$14)*1000</f>
        <v>277365639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Aneri Shah</dc:creator>
  <cp:lastModifiedBy>Aneri Shah</cp:lastModifiedBy>
  <dcterms:created xsi:type="dcterms:W3CDTF">2026-05-31T05:09:40Z</dcterms:created>
  <dcterms:modified xsi:type="dcterms:W3CDTF">2026-05-31T05:30:45Z</dcterms:modified>
</cp:coreProperties>
</file>