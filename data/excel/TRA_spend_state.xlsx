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55F573C8-71D2-DB4B-8146-B57CCD6CD50C}" xr6:coauthVersionLast="47" xr6:coauthVersionMax="47" xr10:uidLastSave="{00000000-0000-0000-0000-000000000000}"/>
  <bookViews>
    <workbookView xWindow="1460" yWindow="1440" windowWidth="25800" windowHeight="15360" xr2:uid="{CFEAB6CC-E4E7-2C49-8E6F-4007A91ED71E}"/>
  </bookViews>
  <sheets>
    <sheet name="csv data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4" i="1"/>
  <c r="C12" i="1"/>
  <c r="C10" i="1"/>
  <c r="C8" i="1"/>
  <c r="C6" i="1"/>
  <c r="C4" i="1"/>
  <c r="C2" i="1"/>
  <c r="C17" i="1"/>
  <c r="C15" i="1"/>
  <c r="C13" i="1"/>
  <c r="C11" i="1"/>
  <c r="C9" i="1"/>
  <c r="C7" i="1"/>
  <c r="C5" i="1"/>
  <c r="C3" i="1"/>
</calcChain>
</file>

<file path=xl/sharedStrings.xml><?xml version="1.0" encoding="utf-8"?>
<sst xmlns="http://schemas.openxmlformats.org/spreadsheetml/2006/main" count="35" uniqueCount="13">
  <si>
    <t>state</t>
  </si>
  <si>
    <t>trip_type</t>
  </si>
  <si>
    <t>avg_spend</t>
  </si>
  <si>
    <t>NSW</t>
  </si>
  <si>
    <t>VIC</t>
  </si>
  <si>
    <t>QLD</t>
  </si>
  <si>
    <t>WA</t>
  </si>
  <si>
    <t>SA</t>
  </si>
  <si>
    <t>TAS</t>
  </si>
  <si>
    <t>NT</t>
  </si>
  <si>
    <t>ACT</t>
  </si>
  <si>
    <t>Day</t>
  </si>
  <si>
    <t>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</si>
</sst>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nvs-quarterly-june-2024-2023.xlsx" TargetMode="External"/><Relationship Id="rId2" Type="http://schemas.openxmlformats.org/officeDocument/2006/relationships/externalLinkPath" Target="/Users/aneri/Downloads/fit2179%20a2/tra-nvs-quarterly-june-2024-2023.xlsx" TargetMode="External"/><Relationship Id="rId1" Type="http://schemas.openxmlformats.org/officeDocument/2006/relationships/externalLinkPath" Target="/Users/aneri/Downloads/fit2179%20a2/tra-nvs-quarterly-june-2024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3c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>
        <row r="8">
          <cell r="B8">
            <v>37138.29</v>
          </cell>
          <cell r="C8">
            <v>28512.611000000001</v>
          </cell>
          <cell r="D8">
            <v>25587.98</v>
          </cell>
          <cell r="E8">
            <v>7573.7389999999996</v>
          </cell>
          <cell r="F8">
            <v>11028.682000000001</v>
          </cell>
          <cell r="G8">
            <v>3203.377</v>
          </cell>
          <cell r="H8">
            <v>1394.145</v>
          </cell>
          <cell r="I8">
            <v>3123.453</v>
          </cell>
        </row>
        <row r="20">
          <cell r="B20">
            <v>30674.948</v>
          </cell>
          <cell r="C20">
            <v>22636.012999999999</v>
          </cell>
          <cell r="D20">
            <v>28506.440999999999</v>
          </cell>
          <cell r="E20">
            <v>6682.3010000000004</v>
          </cell>
          <cell r="F20">
            <v>12283.305</v>
          </cell>
          <cell r="G20">
            <v>3869.1060000000002</v>
          </cell>
          <cell r="H20">
            <v>2581.096</v>
          </cell>
          <cell r="I20">
            <v>2648.7849999999999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C11">
            <v>60757.853999999999</v>
          </cell>
          <cell r="F11">
            <v>10008.018</v>
          </cell>
        </row>
        <row r="17">
          <cell r="C17">
            <v>56277.769</v>
          </cell>
          <cell r="F17">
            <v>8421.6919999999991</v>
          </cell>
        </row>
        <row r="23">
          <cell r="C23">
            <v>44977.925000000003</v>
          </cell>
          <cell r="F23">
            <v>6745.2560000000003</v>
          </cell>
        </row>
        <row r="29">
          <cell r="C29">
            <v>13284.325999999999</v>
          </cell>
          <cell r="F29">
            <v>1926.567</v>
          </cell>
        </row>
        <row r="35">
          <cell r="C35">
            <v>21249.771000000001</v>
          </cell>
          <cell r="F35">
            <v>3635.4520000000002</v>
          </cell>
        </row>
        <row r="41">
          <cell r="C41">
            <v>5280.4380000000001</v>
          </cell>
          <cell r="F41">
            <v>798.78899999999999</v>
          </cell>
        </row>
        <row r="47">
          <cell r="C47">
            <v>1088.0989999999999</v>
          </cell>
          <cell r="F47">
            <v>199.01599999999999</v>
          </cell>
        </row>
        <row r="53">
          <cell r="C53">
            <v>2149.6819999999998</v>
          </cell>
          <cell r="F53">
            <v>592.56799999999998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E0A8-3B77-9646-80D5-58AD30850F6D}">
  <dimension ref="A1:C17"/>
  <sheetViews>
    <sheetView tabSelected="1" zoomScale="106" workbookViewId="0">
      <selection activeCell="D19" sqref="D19"/>
    </sheetView>
  </sheetViews>
  <sheetFormatPr baseColWidth="10" defaultRowHeight="16" x14ac:dyDescent="0.2"/>
  <cols>
    <col min="3" max="3" width="10.83203125" style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11</v>
      </c>
      <c r="C2" s="1">
        <f>('[1]Table 13'!$F$11/'[1]Table 13'!$C$11)*1000</f>
        <v>164.71974141812186</v>
      </c>
    </row>
    <row r="3" spans="1:3" x14ac:dyDescent="0.2">
      <c r="A3" t="s">
        <v>3</v>
      </c>
      <c r="B3" t="s">
        <v>12</v>
      </c>
      <c r="C3" s="1">
        <f>('[1]Table 1a'!$B$20/'[1]Table 1a'!$B$8)*1000</f>
        <v>825.96554660971196</v>
      </c>
    </row>
    <row r="4" spans="1:3" x14ac:dyDescent="0.2">
      <c r="A4" t="s">
        <v>4</v>
      </c>
      <c r="B4" t="s">
        <v>11</v>
      </c>
      <c r="C4" s="1">
        <f>('[1]Table 13'!$F$17/'[1]Table 13'!$C$17)*1000</f>
        <v>149.64509342934329</v>
      </c>
    </row>
    <row r="5" spans="1:3" x14ac:dyDescent="0.2">
      <c r="A5" t="s">
        <v>4</v>
      </c>
      <c r="B5" t="s">
        <v>12</v>
      </c>
      <c r="C5" s="1">
        <f>('[1]Table 1a'!$C$20/'[1]Table 1a'!$C$8)*1000</f>
        <v>793.89477869985319</v>
      </c>
    </row>
    <row r="6" spans="1:3" x14ac:dyDescent="0.2">
      <c r="A6" t="s">
        <v>5</v>
      </c>
      <c r="B6" t="s">
        <v>11</v>
      </c>
      <c r="C6" s="1">
        <f>('[1]Table 13'!$F$23/'[1]Table 13'!$C$23)*1000</f>
        <v>149.96814548470167</v>
      </c>
    </row>
    <row r="7" spans="1:3" x14ac:dyDescent="0.2">
      <c r="A7" t="s">
        <v>5</v>
      </c>
      <c r="B7" t="s">
        <v>12</v>
      </c>
      <c r="C7" s="1">
        <f>('[1]Table 1a'!$D$20/'[1]Table 1a'!$D$8)*1000</f>
        <v>1114.0559356385302</v>
      </c>
    </row>
    <row r="8" spans="1:3" x14ac:dyDescent="0.2">
      <c r="A8" t="s">
        <v>6</v>
      </c>
      <c r="B8" t="s">
        <v>11</v>
      </c>
      <c r="C8" s="1">
        <f>('[1]Table 13'!$F$35/'[1]Table 13'!$C$35)*1000</f>
        <v>171.0819377771177</v>
      </c>
    </row>
    <row r="9" spans="1:3" x14ac:dyDescent="0.2">
      <c r="A9" t="s">
        <v>6</v>
      </c>
      <c r="B9" t="s">
        <v>12</v>
      </c>
      <c r="C9" s="1">
        <f>('[1]Table 1a'!$F$20/'[1]Table 1a'!$F$8)*1000</f>
        <v>1113.7600123024674</v>
      </c>
    </row>
    <row r="10" spans="1:3" x14ac:dyDescent="0.2">
      <c r="A10" t="s">
        <v>7</v>
      </c>
      <c r="B10" t="s">
        <v>11</v>
      </c>
      <c r="C10" s="1">
        <f>('[1]Table 13'!$F$29/'[1]Table 13'!$C$29)*1000</f>
        <v>145.02557374758794</v>
      </c>
    </row>
    <row r="11" spans="1:3" x14ac:dyDescent="0.2">
      <c r="A11" t="s">
        <v>7</v>
      </c>
      <c r="B11" t="s">
        <v>12</v>
      </c>
      <c r="C11" s="1">
        <f>('[1]Table 1a'!$E$20/'[1]Table 1a'!$E$8)*1000</f>
        <v>882.29882228579584</v>
      </c>
    </row>
    <row r="12" spans="1:3" x14ac:dyDescent="0.2">
      <c r="A12" t="s">
        <v>8</v>
      </c>
      <c r="B12" t="s">
        <v>11</v>
      </c>
      <c r="C12" s="1">
        <f>('[1]Table 13'!$F$41/'[1]Table 13'!$C$41)*1000</f>
        <v>151.27324665113008</v>
      </c>
    </row>
    <row r="13" spans="1:3" x14ac:dyDescent="0.2">
      <c r="A13" t="s">
        <v>8</v>
      </c>
      <c r="B13" t="s">
        <v>12</v>
      </c>
      <c r="C13" s="1">
        <f>('[1]Table 1a'!$G$20/'[1]Table 1a'!$G$8)*1000</f>
        <v>1207.8209964047317</v>
      </c>
    </row>
    <row r="14" spans="1:3" x14ac:dyDescent="0.2">
      <c r="A14" t="s">
        <v>9</v>
      </c>
      <c r="B14" t="s">
        <v>11</v>
      </c>
      <c r="C14" s="1">
        <f>('[1]Table 13'!$F$47/'[1]Table 13'!$C$47)*1000</f>
        <v>182.90247486671709</v>
      </c>
    </row>
    <row r="15" spans="1:3" x14ac:dyDescent="0.2">
      <c r="A15" t="s">
        <v>9</v>
      </c>
      <c r="B15" t="s">
        <v>12</v>
      </c>
      <c r="C15" s="1">
        <f>('[1]Table 1a'!$H$20/'[1]Table 1a'!$H$8)*1000</f>
        <v>1851.3827471317545</v>
      </c>
    </row>
    <row r="16" spans="1:3" x14ac:dyDescent="0.2">
      <c r="A16" t="s">
        <v>10</v>
      </c>
      <c r="B16" t="s">
        <v>11</v>
      </c>
      <c r="C16" s="1">
        <f>('[1]Table 13'!$F$53/'[1]Table 13'!$C$53)*1000</f>
        <v>275.65379437516805</v>
      </c>
    </row>
    <row r="17" spans="1:3" x14ac:dyDescent="0.2">
      <c r="A17" t="s">
        <v>10</v>
      </c>
      <c r="B17" t="s">
        <v>12</v>
      </c>
      <c r="C17" s="1">
        <f>('[1]Table 1a'!$I$20/'[1]Table 1a'!$I$8)*1000</f>
        <v>848.03100927082937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Shah</dc:creator>
  <cp:lastModifiedBy>Aneri Shah</cp:lastModifiedBy>
  <dcterms:created xsi:type="dcterms:W3CDTF">2026-05-31T05:35:58Z</dcterms:created>
  <dcterms:modified xsi:type="dcterms:W3CDTF">2026-05-31T05:48:33Z</dcterms:modified>
</cp:coreProperties>
</file>