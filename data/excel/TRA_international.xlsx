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eri/monash/FIT2179_V2/data/"/>
    </mc:Choice>
  </mc:AlternateContent>
  <xr:revisionPtr revIDLastSave="0" documentId="8_{2090FF81-CB1E-A14C-98B3-0404D8D9AA0D}" xr6:coauthVersionLast="47" xr6:coauthVersionMax="47" xr10:uidLastSave="{00000000-0000-0000-0000-000000000000}"/>
  <bookViews>
    <workbookView xWindow="-4100" yWindow="-17540" windowWidth="18860" windowHeight="14740" xr2:uid="{6B1CFABE-6611-8444-8FE7-F4AB443E0A1B}"/>
  </bookViews>
  <sheets>
    <sheet name="csv dat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7" i="1" l="1"/>
  <c r="D57" i="1"/>
  <c r="E50" i="1"/>
  <c r="D50" i="1"/>
  <c r="E43" i="1"/>
  <c r="D43" i="1"/>
  <c r="E36" i="1"/>
  <c r="D36" i="1"/>
  <c r="E29" i="1"/>
  <c r="D29" i="1"/>
  <c r="E22" i="1"/>
  <c r="D22" i="1"/>
  <c r="E15" i="1"/>
  <c r="D15" i="1"/>
  <c r="E8" i="1"/>
  <c r="D8" i="1"/>
  <c r="E56" i="1"/>
  <c r="D56" i="1"/>
  <c r="E49" i="1"/>
  <c r="D49" i="1"/>
  <c r="E42" i="1"/>
  <c r="D42" i="1"/>
  <c r="E35" i="1"/>
  <c r="D35" i="1"/>
  <c r="E28" i="1"/>
  <c r="D28" i="1"/>
  <c r="E21" i="1"/>
  <c r="D21" i="1"/>
  <c r="E14" i="1"/>
  <c r="D14" i="1"/>
  <c r="E7" i="1"/>
  <c r="D7" i="1"/>
  <c r="E55" i="1"/>
  <c r="D55" i="1"/>
  <c r="E48" i="1"/>
  <c r="D48" i="1"/>
  <c r="E41" i="1"/>
  <c r="D41" i="1"/>
  <c r="E34" i="1"/>
  <c r="D34" i="1"/>
  <c r="E27" i="1"/>
  <c r="D27" i="1"/>
  <c r="E20" i="1"/>
  <c r="D20" i="1"/>
  <c r="E13" i="1"/>
  <c r="D13" i="1"/>
  <c r="E6" i="1"/>
  <c r="D6" i="1"/>
  <c r="E54" i="1"/>
  <c r="D54" i="1"/>
  <c r="E47" i="1"/>
  <c r="D47" i="1"/>
  <c r="E40" i="1"/>
  <c r="D40" i="1"/>
  <c r="E33" i="1"/>
  <c r="D33" i="1"/>
  <c r="E26" i="1"/>
  <c r="D26" i="1"/>
  <c r="E19" i="1"/>
  <c r="D19" i="1"/>
  <c r="E12" i="1"/>
  <c r="D12" i="1"/>
  <c r="E5" i="1"/>
  <c r="D5" i="1"/>
  <c r="E53" i="1"/>
  <c r="D53" i="1"/>
  <c r="E46" i="1"/>
  <c r="D46" i="1"/>
  <c r="E39" i="1"/>
  <c r="D39" i="1"/>
  <c r="E32" i="1"/>
  <c r="D32" i="1"/>
  <c r="E25" i="1"/>
  <c r="D25" i="1"/>
  <c r="E18" i="1"/>
  <c r="D18" i="1"/>
  <c r="E11" i="1"/>
  <c r="D11" i="1"/>
  <c r="E4" i="1"/>
  <c r="D4" i="1"/>
  <c r="E52" i="1"/>
  <c r="E51" i="1"/>
  <c r="D52" i="1"/>
  <c r="D51" i="1"/>
  <c r="E45" i="1"/>
  <c r="E44" i="1"/>
  <c r="D45" i="1"/>
  <c r="D44" i="1"/>
  <c r="E38" i="1"/>
  <c r="E37" i="1"/>
  <c r="D38" i="1"/>
  <c r="D37" i="1"/>
  <c r="E31" i="1"/>
  <c r="E30" i="1"/>
  <c r="D31" i="1"/>
  <c r="D30" i="1"/>
  <c r="E24" i="1"/>
  <c r="E23" i="1"/>
  <c r="D24" i="1"/>
  <c r="D23" i="1"/>
  <c r="E17" i="1"/>
  <c r="E16" i="1"/>
  <c r="D17" i="1"/>
  <c r="D16" i="1"/>
  <c r="E10" i="1"/>
  <c r="E9" i="1"/>
  <c r="D10" i="1"/>
  <c r="D9" i="1"/>
  <c r="E3" i="1"/>
  <c r="D3" i="1"/>
  <c r="E2" i="1"/>
  <c r="D2" i="1"/>
</calcChain>
</file>

<file path=xl/sharedStrings.xml><?xml version="1.0" encoding="utf-8"?>
<sst xmlns="http://schemas.openxmlformats.org/spreadsheetml/2006/main" count="117" uniqueCount="21">
  <si>
    <t>state</t>
  </si>
  <si>
    <t>state_full</t>
  </si>
  <si>
    <t>year</t>
  </si>
  <si>
    <t>visitors</t>
  </si>
  <si>
    <t>nights</t>
  </si>
  <si>
    <t>NSW</t>
  </si>
  <si>
    <t>New South Wales</t>
  </si>
  <si>
    <t>VIC</t>
  </si>
  <si>
    <t>QLD</t>
  </si>
  <si>
    <t>WA</t>
  </si>
  <si>
    <t>SA</t>
  </si>
  <si>
    <t>TAS</t>
  </si>
  <si>
    <t>NT</t>
  </si>
  <si>
    <t>ACT</t>
  </si>
  <si>
    <t>Victoria</t>
  </si>
  <si>
    <t>Queensland</t>
  </si>
  <si>
    <t>Western Australia</t>
  </si>
  <si>
    <t>South Australia</t>
  </si>
  <si>
    <t>Tasmania</t>
  </si>
  <si>
    <t>Northern Territory</t>
  </si>
  <si>
    <t>Australian Capital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</si>
</sst>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fit2179%20a2/tra-ivs-tourism-results-ye-dec-2020.xlsx" TargetMode="External"/><Relationship Id="rId2" Type="http://schemas.openxmlformats.org/officeDocument/2006/relationships/externalLinkPath" Target="/Users/aneri/Downloads/fit2179%20a2/tra-ivs-tourism-results-ye-dec-2020.xlsx" TargetMode="External"/><Relationship Id="rId1" Type="http://schemas.openxmlformats.org/officeDocument/2006/relationships/externalLinkPath" Target="/Users/aneri/Downloads/fit2179%20a2/tra-ivs-tourism-results-ye-dec-202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fit2179%20a2/tra-ivs-tourism-results-ye-dec-2021-2020-comparison.xlsx" TargetMode="External"/><Relationship Id="rId2" Type="http://schemas.openxmlformats.org/officeDocument/2006/relationships/externalLinkPath" Target="/Users/aneri/Downloads/fit2179%20a2/tra-ivs-tourism-results-ye-dec-2021-2020-comparison.xlsx" TargetMode="External"/><Relationship Id="rId1" Type="http://schemas.openxmlformats.org/officeDocument/2006/relationships/externalLinkPath" Target="/Users/aneri/Downloads/fit2179%20a2/tra-ivs-tourism-results-ye-dec-2021-2020-comparison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fit2179%20a2/tra-ivs-tourism-results-ye-dec-2022-2021.xlsx" TargetMode="External"/><Relationship Id="rId2" Type="http://schemas.openxmlformats.org/officeDocument/2006/relationships/externalLinkPath" Target="/Users/aneri/Downloads/fit2179%20a2/tra-ivs-tourism-results-ye-dec-2022-2021.xlsx" TargetMode="External"/><Relationship Id="rId1" Type="http://schemas.openxmlformats.org/officeDocument/2006/relationships/externalLinkPath" Target="/Users/aneri/Downloads/fit2179%20a2/tra-ivs-tourism-results-ye-dec-2022-2021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fit2179%20a2/tra-international-visitor-survey-tourism-results-year-ending-december-2023-2022.xlsx" TargetMode="External"/><Relationship Id="rId2" Type="http://schemas.openxmlformats.org/officeDocument/2006/relationships/externalLinkPath" Target="/Users/aneri/Downloads/fit2179%20a2/tra-international-visitor-survey-tourism-results-year-ending-december-2023-2022.xlsx" TargetMode="External"/><Relationship Id="rId1" Type="http://schemas.openxmlformats.org/officeDocument/2006/relationships/externalLinkPath" Target="/Users/aneri/Downloads/fit2179%20a2/tra-international-visitor-survey-tourism-results-year-ending-december-2023-2022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fit2179%20a2/ivs-tourism-results-ye-dec-2024-2023.xlsx" TargetMode="External"/><Relationship Id="rId2" Type="http://schemas.openxmlformats.org/officeDocument/2006/relationships/externalLinkPath" Target="/Users/aneri/Downloads/fit2179%20a2/ivs-tourism-results-ye-dec-2024-2023.xlsx" TargetMode="External"/><Relationship Id="rId1" Type="http://schemas.openxmlformats.org/officeDocument/2006/relationships/externalLinkPath" Target="/Users/aneri/Downloads/fit2179%20a2/ivs-tourism-results-ye-dec-2024-2023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fit2179%20a2/international-visitor-survey-results-december-quarter-2025.xlsx" TargetMode="External"/><Relationship Id="rId2" Type="http://schemas.openxmlformats.org/officeDocument/2006/relationships/externalLinkPath" Target="/Users/aneri/Downloads/fit2179%20a2/international-visitor-survey-results-december-quarter-2025.xlsx" TargetMode="External"/><Relationship Id="rId1" Type="http://schemas.openxmlformats.org/officeDocument/2006/relationships/externalLinkPath" Target="/Users/aneri/Downloads/fit2179%20a2/international-visitor-survey-results-december-quarter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1 COUNTRY"/>
      <sheetName val="T2 PURPOSE"/>
      <sheetName val="T3 STATES"/>
    </sheetNames>
    <sheetDataSet>
      <sheetData sheetId="0" refreshError="1"/>
      <sheetData sheetId="1" refreshError="1"/>
      <sheetData sheetId="2">
        <row r="6">
          <cell r="B6">
            <v>4384</v>
          </cell>
          <cell r="C6">
            <v>839</v>
          </cell>
          <cell r="F6">
            <v>96576</v>
          </cell>
          <cell r="G6">
            <v>24428</v>
          </cell>
        </row>
        <row r="7">
          <cell r="B7">
            <v>3138</v>
          </cell>
          <cell r="C7">
            <v>615</v>
          </cell>
          <cell r="F7">
            <v>73064</v>
          </cell>
          <cell r="G7">
            <v>19599</v>
          </cell>
        </row>
        <row r="8">
          <cell r="B8">
            <v>2783</v>
          </cell>
          <cell r="C8">
            <v>493</v>
          </cell>
          <cell r="F8">
            <v>54926</v>
          </cell>
          <cell r="G8">
            <v>12361</v>
          </cell>
        </row>
        <row r="9">
          <cell r="B9">
            <v>488</v>
          </cell>
          <cell r="C9">
            <v>106</v>
          </cell>
          <cell r="F9">
            <v>10938</v>
          </cell>
          <cell r="G9">
            <v>2903</v>
          </cell>
        </row>
        <row r="10">
          <cell r="B10">
            <v>996</v>
          </cell>
          <cell r="C10">
            <v>220</v>
          </cell>
          <cell r="F10">
            <v>25189</v>
          </cell>
          <cell r="G10">
            <v>6443</v>
          </cell>
        </row>
        <row r="11">
          <cell r="B11">
            <v>283</v>
          </cell>
          <cell r="C11">
            <v>81</v>
          </cell>
          <cell r="F11">
            <v>4247</v>
          </cell>
          <cell r="G11">
            <v>1362</v>
          </cell>
        </row>
        <row r="12">
          <cell r="B12">
            <v>299</v>
          </cell>
          <cell r="C12">
            <v>50</v>
          </cell>
          <cell r="F12">
            <v>3163</v>
          </cell>
          <cell r="G12">
            <v>749</v>
          </cell>
        </row>
        <row r="13">
          <cell r="B13">
            <v>270</v>
          </cell>
          <cell r="C13">
            <v>39</v>
          </cell>
          <cell r="F13">
            <v>5860</v>
          </cell>
          <cell r="G13">
            <v>964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1 COUNTRY"/>
      <sheetName val="T2 PURPOSE"/>
      <sheetName val="T3 STATES"/>
    </sheetNames>
    <sheetDataSet>
      <sheetData sheetId="0" refreshError="1"/>
      <sheetData sheetId="1" refreshError="1"/>
      <sheetData sheetId="2">
        <row r="6">
          <cell r="C6">
            <v>112357</v>
          </cell>
          <cell r="G6">
            <v>6927.7669999999998</v>
          </cell>
        </row>
        <row r="7">
          <cell r="C7">
            <v>61570</v>
          </cell>
          <cell r="G7">
            <v>4389.018</v>
          </cell>
        </row>
        <row r="8">
          <cell r="C8">
            <v>60341</v>
          </cell>
          <cell r="G8">
            <v>2581.0920000000001</v>
          </cell>
        </row>
        <row r="9">
          <cell r="C9">
            <v>10162</v>
          </cell>
          <cell r="G9">
            <v>601.73299999999995</v>
          </cell>
        </row>
        <row r="10">
          <cell r="C10">
            <v>14687</v>
          </cell>
          <cell r="G10">
            <v>1086.546</v>
          </cell>
        </row>
        <row r="11">
          <cell r="C11">
            <v>5698</v>
          </cell>
          <cell r="G11">
            <v>507.42899999999997</v>
          </cell>
        </row>
        <row r="12">
          <cell r="C12">
            <v>5210</v>
          </cell>
          <cell r="G12">
            <v>414.779</v>
          </cell>
        </row>
        <row r="13">
          <cell r="C13">
            <v>4554</v>
          </cell>
          <cell r="G13">
            <v>266.58800000000002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1 COUNTRY"/>
      <sheetName val="T2 PURPOSE"/>
      <sheetName val="T3 STATES"/>
    </sheetNames>
    <sheetDataSet>
      <sheetData sheetId="0" refreshError="1"/>
      <sheetData sheetId="1" refreshError="1"/>
      <sheetData sheetId="2">
        <row r="6">
          <cell r="C6">
            <v>1578223</v>
          </cell>
          <cell r="G6">
            <v>44228</v>
          </cell>
        </row>
        <row r="7">
          <cell r="C7">
            <v>1047516</v>
          </cell>
          <cell r="G7">
            <v>32768</v>
          </cell>
        </row>
        <row r="8">
          <cell r="C8">
            <v>916164</v>
          </cell>
          <cell r="G8">
            <v>23843</v>
          </cell>
        </row>
        <row r="9">
          <cell r="C9">
            <v>180553</v>
          </cell>
          <cell r="G9">
            <v>5526</v>
          </cell>
        </row>
        <row r="10">
          <cell r="C10">
            <v>398232</v>
          </cell>
          <cell r="G10">
            <v>13605</v>
          </cell>
        </row>
        <row r="11">
          <cell r="C11">
            <v>84168</v>
          </cell>
          <cell r="G11">
            <v>1354</v>
          </cell>
        </row>
        <row r="12">
          <cell r="C12">
            <v>89949</v>
          </cell>
          <cell r="G12">
            <v>2534</v>
          </cell>
        </row>
        <row r="13">
          <cell r="C13">
            <v>87982</v>
          </cell>
          <cell r="G13">
            <v>2037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1 COUNTRY"/>
      <sheetName val="T2 PURPOSE"/>
      <sheetName val="T3 STATES"/>
    </sheetNames>
    <sheetDataSet>
      <sheetData sheetId="0" refreshError="1"/>
      <sheetData sheetId="1" refreshError="1"/>
      <sheetData sheetId="2">
        <row r="6">
          <cell r="C6">
            <v>3423</v>
          </cell>
          <cell r="G6">
            <v>87002</v>
          </cell>
        </row>
        <row r="7">
          <cell r="C7">
            <v>2082</v>
          </cell>
          <cell r="G7">
            <v>50887</v>
          </cell>
        </row>
        <row r="8">
          <cell r="C8">
            <v>1973</v>
          </cell>
          <cell r="G8">
            <v>50105</v>
          </cell>
        </row>
        <row r="9">
          <cell r="C9">
            <v>439</v>
          </cell>
          <cell r="G9">
            <v>14062</v>
          </cell>
        </row>
        <row r="10">
          <cell r="C10">
            <v>785</v>
          </cell>
          <cell r="G10">
            <v>28111</v>
          </cell>
        </row>
        <row r="11">
          <cell r="C11">
            <v>207</v>
          </cell>
          <cell r="G11">
            <v>3396</v>
          </cell>
        </row>
        <row r="12">
          <cell r="C12">
            <v>191</v>
          </cell>
          <cell r="G12">
            <v>3837</v>
          </cell>
        </row>
        <row r="13">
          <cell r="C13">
            <v>179</v>
          </cell>
          <cell r="G13">
            <v>4324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ent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0"/>
      <sheetName val="Table 11"/>
      <sheetName val="Reference"/>
    </sheetNames>
    <sheetDataSet>
      <sheetData sheetId="0" refreshError="1"/>
      <sheetData sheetId="1" refreshError="1"/>
      <sheetData sheetId="2" refreshError="1"/>
      <sheetData sheetId="3">
        <row r="6">
          <cell r="C6">
            <v>3805.6706877469828</v>
          </cell>
          <cell r="G6">
            <v>100774.26406948085</v>
          </cell>
        </row>
        <row r="7">
          <cell r="C7">
            <v>2708.1250899940064</v>
          </cell>
          <cell r="G7">
            <v>80265.526484065136</v>
          </cell>
        </row>
        <row r="8">
          <cell r="C8">
            <v>2157.6332997442391</v>
          </cell>
          <cell r="G8">
            <v>53254.146779949704</v>
          </cell>
        </row>
        <row r="9">
          <cell r="C9">
            <v>439.94419348563065</v>
          </cell>
          <cell r="G9">
            <v>13591.912894705602</v>
          </cell>
        </row>
        <row r="10">
          <cell r="C10">
            <v>864.98359574232086</v>
          </cell>
          <cell r="G10">
            <v>31303.893273119476</v>
          </cell>
        </row>
        <row r="11">
          <cell r="C11">
            <v>253.99528334138495</v>
          </cell>
          <cell r="G11">
            <v>4959.4211524247512</v>
          </cell>
        </row>
        <row r="12">
          <cell r="C12">
            <v>221.19364451410533</v>
          </cell>
          <cell r="G12">
            <v>4607.5513325569837</v>
          </cell>
        </row>
        <row r="13">
          <cell r="C13">
            <v>214.66331194644553</v>
          </cell>
          <cell r="G13">
            <v>5431.0687566653714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ent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0"/>
      <sheetName val="Table 11"/>
      <sheetName val="Reference"/>
    </sheetNames>
    <sheetDataSet>
      <sheetData sheetId="0"/>
      <sheetData sheetId="1"/>
      <sheetData sheetId="2"/>
      <sheetData sheetId="3">
        <row r="6">
          <cell r="C6">
            <v>4110.4163614534291</v>
          </cell>
          <cell r="G6">
            <v>105933.87166954635</v>
          </cell>
        </row>
        <row r="7">
          <cell r="C7">
            <v>2826.8135860534471</v>
          </cell>
          <cell r="G7">
            <v>78822.255997756612</v>
          </cell>
        </row>
        <row r="8">
          <cell r="C8">
            <v>2368.4626059586917</v>
          </cell>
          <cell r="G8">
            <v>55611.056559349941</v>
          </cell>
        </row>
        <row r="9">
          <cell r="C9">
            <v>445.40925640788544</v>
          </cell>
          <cell r="G9">
            <v>14720.620583182361</v>
          </cell>
        </row>
        <row r="10">
          <cell r="C10">
            <v>1068.1419066998701</v>
          </cell>
          <cell r="G10">
            <v>41981.767334042139</v>
          </cell>
        </row>
        <row r="11">
          <cell r="C11">
            <v>278.63296193431387</v>
          </cell>
          <cell r="G11">
            <v>5045.5855365629341</v>
          </cell>
        </row>
        <row r="12">
          <cell r="C12">
            <v>254.65064012959294</v>
          </cell>
          <cell r="G12">
            <v>4420.0395857927369</v>
          </cell>
        </row>
        <row r="13">
          <cell r="C13">
            <v>198.54354527311813</v>
          </cell>
          <cell r="G13">
            <v>5613.7255949506844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BC20-C45E-2E40-B666-A23141E37912}">
  <dimension ref="A1:E57"/>
  <sheetViews>
    <sheetView tabSelected="1" topLeftCell="A35" workbookViewId="0">
      <selection activeCell="H57" sqref="H57"/>
    </sheetView>
  </sheetViews>
  <sheetFormatPr baseColWidth="10" defaultRowHeight="16" x14ac:dyDescent="0.2"/>
  <cols>
    <col min="2" max="2" width="24.5" customWidth="1"/>
    <col min="4" max="5" width="10.83203125" style="1"/>
  </cols>
  <sheetData>
    <row r="1" spans="1:5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2019</v>
      </c>
      <c r="D2" s="1">
        <f>'[1]T3 STATES'!$B$6*1000</f>
        <v>4384000</v>
      </c>
      <c r="E2" s="1">
        <f>'[1]T3 STATES'!$F$6*1000</f>
        <v>96576000</v>
      </c>
    </row>
    <row r="3" spans="1:5" x14ac:dyDescent="0.2">
      <c r="A3" t="s">
        <v>5</v>
      </c>
      <c r="B3" t="s">
        <v>6</v>
      </c>
      <c r="C3">
        <v>2020</v>
      </c>
      <c r="D3" s="1">
        <f>'[1]T3 STATES'!$C$6*1000</f>
        <v>839000</v>
      </c>
      <c r="E3" s="1">
        <f>'[1]T3 STATES'!$G$6*1000</f>
        <v>24428000</v>
      </c>
    </row>
    <row r="4" spans="1:5" x14ac:dyDescent="0.2">
      <c r="A4" t="s">
        <v>5</v>
      </c>
      <c r="B4" t="s">
        <v>6</v>
      </c>
      <c r="C4">
        <v>2021</v>
      </c>
      <c r="D4" s="1">
        <f>'[2]T3 STATES'!$C$6</f>
        <v>112357</v>
      </c>
      <c r="E4" s="1">
        <f>'[2]T3 STATES'!$G$6*1000</f>
        <v>6927767</v>
      </c>
    </row>
    <row r="5" spans="1:5" x14ac:dyDescent="0.2">
      <c r="A5" t="s">
        <v>5</v>
      </c>
      <c r="B5" t="s">
        <v>6</v>
      </c>
      <c r="C5">
        <v>2022</v>
      </c>
      <c r="D5" s="1">
        <f>'[3]T3 STATES'!$C$6</f>
        <v>1578223</v>
      </c>
      <c r="E5" s="1">
        <f>'[3]T3 STATES'!$G$6*1000</f>
        <v>44228000</v>
      </c>
    </row>
    <row r="6" spans="1:5" x14ac:dyDescent="0.2">
      <c r="A6" t="s">
        <v>5</v>
      </c>
      <c r="B6" t="s">
        <v>6</v>
      </c>
      <c r="C6">
        <v>2023</v>
      </c>
      <c r="D6" s="1">
        <f>'[4]T3 STATES'!$C$6*1000</f>
        <v>3423000</v>
      </c>
      <c r="E6" s="1">
        <f>'[4]T3 STATES'!$G$6*1000</f>
        <v>87002000</v>
      </c>
    </row>
    <row r="7" spans="1:5" x14ac:dyDescent="0.2">
      <c r="A7" t="s">
        <v>5</v>
      </c>
      <c r="B7" t="s">
        <v>6</v>
      </c>
      <c r="C7">
        <v>2024</v>
      </c>
      <c r="D7" s="1">
        <f>'[5]Table 3'!$C$6*1000</f>
        <v>3805670.687746983</v>
      </c>
      <c r="E7" s="1">
        <f>'[5]Table 3'!$G$6*1000</f>
        <v>100774264.06948085</v>
      </c>
    </row>
    <row r="8" spans="1:5" x14ac:dyDescent="0.2">
      <c r="A8" t="s">
        <v>5</v>
      </c>
      <c r="B8" t="s">
        <v>6</v>
      </c>
      <c r="C8">
        <v>2025</v>
      </c>
      <c r="D8" s="1">
        <f>'[6]Table 3'!$C$6*1000</f>
        <v>4110416.3614534289</v>
      </c>
      <c r="E8" s="1">
        <f>'[6]Table 3'!$G$6*1000</f>
        <v>105933871.66954635</v>
      </c>
    </row>
    <row r="9" spans="1:5" x14ac:dyDescent="0.2">
      <c r="A9" t="s">
        <v>7</v>
      </c>
      <c r="B9" t="s">
        <v>14</v>
      </c>
      <c r="C9">
        <v>2019</v>
      </c>
      <c r="D9" s="1">
        <f>'[1]T3 STATES'!$B$7*1000</f>
        <v>3138000</v>
      </c>
      <c r="E9" s="1">
        <f>'[1]T3 STATES'!$F$7*1000</f>
        <v>73064000</v>
      </c>
    </row>
    <row r="10" spans="1:5" x14ac:dyDescent="0.2">
      <c r="A10" t="s">
        <v>7</v>
      </c>
      <c r="B10" t="s">
        <v>14</v>
      </c>
      <c r="C10">
        <v>2020</v>
      </c>
      <c r="D10" s="1">
        <f>'[1]T3 STATES'!$C$7*1000</f>
        <v>615000</v>
      </c>
      <c r="E10" s="1">
        <f>'[1]T3 STATES'!$G$7*1000</f>
        <v>19599000</v>
      </c>
    </row>
    <row r="11" spans="1:5" x14ac:dyDescent="0.2">
      <c r="A11" t="s">
        <v>7</v>
      </c>
      <c r="B11" t="s">
        <v>14</v>
      </c>
      <c r="C11">
        <v>2021</v>
      </c>
      <c r="D11" s="1">
        <f>'[2]T3 STATES'!$C$7</f>
        <v>61570</v>
      </c>
      <c r="E11" s="1">
        <f>'[2]T3 STATES'!$G$7*1000</f>
        <v>4389018</v>
      </c>
    </row>
    <row r="12" spans="1:5" x14ac:dyDescent="0.2">
      <c r="A12" t="s">
        <v>7</v>
      </c>
      <c r="B12" t="s">
        <v>14</v>
      </c>
      <c r="C12">
        <v>2022</v>
      </c>
      <c r="D12" s="1">
        <f>'[3]T3 STATES'!$C$7</f>
        <v>1047516</v>
      </c>
      <c r="E12" s="1">
        <f>'[3]T3 STATES'!$G$7*1000</f>
        <v>32768000</v>
      </c>
    </row>
    <row r="13" spans="1:5" x14ac:dyDescent="0.2">
      <c r="A13" t="s">
        <v>7</v>
      </c>
      <c r="B13" t="s">
        <v>14</v>
      </c>
      <c r="C13">
        <v>2023</v>
      </c>
      <c r="D13" s="1">
        <f>'[4]T3 STATES'!$C$7*1000</f>
        <v>2082000</v>
      </c>
      <c r="E13" s="1">
        <f>'[4]T3 STATES'!$G$7*1000</f>
        <v>50887000</v>
      </c>
    </row>
    <row r="14" spans="1:5" x14ac:dyDescent="0.2">
      <c r="A14" t="s">
        <v>7</v>
      </c>
      <c r="B14" t="s">
        <v>14</v>
      </c>
      <c r="C14">
        <v>2024</v>
      </c>
      <c r="D14" s="1">
        <f>'[5]Table 3'!$C$7*1000</f>
        <v>2708125.0899940063</v>
      </c>
      <c r="E14" s="1">
        <f>'[5]Table 3'!$G$7*1000</f>
        <v>80265526.48406513</v>
      </c>
    </row>
    <row r="15" spans="1:5" x14ac:dyDescent="0.2">
      <c r="A15" t="s">
        <v>7</v>
      </c>
      <c r="B15" t="s">
        <v>14</v>
      </c>
      <c r="C15">
        <v>2025</v>
      </c>
      <c r="D15" s="1">
        <f>'[6]Table 3'!$C$7*1000</f>
        <v>2826813.5860534473</v>
      </c>
      <c r="E15" s="1">
        <f>'[6]Table 3'!$G$7*1000</f>
        <v>78822255.997756615</v>
      </c>
    </row>
    <row r="16" spans="1:5" x14ac:dyDescent="0.2">
      <c r="A16" t="s">
        <v>8</v>
      </c>
      <c r="B16" t="s">
        <v>15</v>
      </c>
      <c r="C16">
        <v>2019</v>
      </c>
      <c r="D16" s="1">
        <f>'[1]T3 STATES'!$B$8*1000</f>
        <v>2783000</v>
      </c>
      <c r="E16" s="1">
        <f>'[1]T3 STATES'!$F$8*1000</f>
        <v>54926000</v>
      </c>
    </row>
    <row r="17" spans="1:5" x14ac:dyDescent="0.2">
      <c r="A17" t="s">
        <v>8</v>
      </c>
      <c r="B17" t="s">
        <v>15</v>
      </c>
      <c r="C17">
        <v>2020</v>
      </c>
      <c r="D17" s="1">
        <f>'[1]T3 STATES'!$C$8*1000</f>
        <v>493000</v>
      </c>
      <c r="E17" s="1">
        <f>'[1]T3 STATES'!$G$8*1000</f>
        <v>12361000</v>
      </c>
    </row>
    <row r="18" spans="1:5" x14ac:dyDescent="0.2">
      <c r="A18" t="s">
        <v>8</v>
      </c>
      <c r="B18" t="s">
        <v>15</v>
      </c>
      <c r="C18">
        <v>2021</v>
      </c>
      <c r="D18" s="1">
        <f>'[2]T3 STATES'!$C$8</f>
        <v>60341</v>
      </c>
      <c r="E18" s="1">
        <f>'[2]T3 STATES'!$G$8*1000</f>
        <v>2581092</v>
      </c>
    </row>
    <row r="19" spans="1:5" x14ac:dyDescent="0.2">
      <c r="A19" t="s">
        <v>8</v>
      </c>
      <c r="B19" t="s">
        <v>15</v>
      </c>
      <c r="C19">
        <v>2022</v>
      </c>
      <c r="D19" s="1">
        <f>'[3]T3 STATES'!$C$8</f>
        <v>916164</v>
      </c>
      <c r="E19" s="1">
        <f>'[3]T3 STATES'!$G$8*1000</f>
        <v>23843000</v>
      </c>
    </row>
    <row r="20" spans="1:5" x14ac:dyDescent="0.2">
      <c r="A20" t="s">
        <v>8</v>
      </c>
      <c r="B20" t="s">
        <v>15</v>
      </c>
      <c r="C20">
        <v>2023</v>
      </c>
      <c r="D20" s="1">
        <f>'[4]T3 STATES'!$C$8*1000</f>
        <v>1973000</v>
      </c>
      <c r="E20" s="1">
        <f>'[4]T3 STATES'!$G$8*1000</f>
        <v>50105000</v>
      </c>
    </row>
    <row r="21" spans="1:5" x14ac:dyDescent="0.2">
      <c r="A21" t="s">
        <v>8</v>
      </c>
      <c r="B21" t="s">
        <v>15</v>
      </c>
      <c r="C21">
        <v>2024</v>
      </c>
      <c r="D21" s="1">
        <f>'[5]Table 3'!$C$8*1000</f>
        <v>2157633.2997442391</v>
      </c>
      <c r="E21" s="1">
        <f>'[5]Table 3'!$G$8*1000</f>
        <v>53254146.779949702</v>
      </c>
    </row>
    <row r="22" spans="1:5" x14ac:dyDescent="0.2">
      <c r="A22" t="s">
        <v>8</v>
      </c>
      <c r="B22" t="s">
        <v>15</v>
      </c>
      <c r="C22">
        <v>2025</v>
      </c>
      <c r="D22" s="1">
        <f>'[6]Table 3'!$C$8*1000</f>
        <v>2368462.6059586918</v>
      </c>
      <c r="E22" s="1">
        <f>'[6]Table 3'!$G$8*1000</f>
        <v>55611056.559349939</v>
      </c>
    </row>
    <row r="23" spans="1:5" x14ac:dyDescent="0.2">
      <c r="A23" t="s">
        <v>9</v>
      </c>
      <c r="B23" t="s">
        <v>16</v>
      </c>
      <c r="C23">
        <v>2019</v>
      </c>
      <c r="D23" s="1">
        <f>'[1]T3 STATES'!$B$10*1000</f>
        <v>996000</v>
      </c>
      <c r="E23" s="1">
        <f>'[1]T3 STATES'!$F$10*1000</f>
        <v>25189000</v>
      </c>
    </row>
    <row r="24" spans="1:5" x14ac:dyDescent="0.2">
      <c r="A24" t="s">
        <v>9</v>
      </c>
      <c r="B24" t="s">
        <v>16</v>
      </c>
      <c r="C24">
        <v>2020</v>
      </c>
      <c r="D24" s="1">
        <f>'[1]T3 STATES'!$C$10*1000</f>
        <v>220000</v>
      </c>
      <c r="E24" s="1">
        <f>'[1]T3 STATES'!$G$10*1000</f>
        <v>6443000</v>
      </c>
    </row>
    <row r="25" spans="1:5" x14ac:dyDescent="0.2">
      <c r="A25" t="s">
        <v>9</v>
      </c>
      <c r="B25" t="s">
        <v>16</v>
      </c>
      <c r="C25">
        <v>2021</v>
      </c>
      <c r="D25" s="1">
        <f>'[2]T3 STATES'!$C$10</f>
        <v>14687</v>
      </c>
      <c r="E25" s="1">
        <f>'[2]T3 STATES'!$G$10*1000</f>
        <v>1086546</v>
      </c>
    </row>
    <row r="26" spans="1:5" x14ac:dyDescent="0.2">
      <c r="A26" t="s">
        <v>9</v>
      </c>
      <c r="B26" t="s">
        <v>16</v>
      </c>
      <c r="C26">
        <v>2022</v>
      </c>
      <c r="D26" s="1">
        <f>'[3]T3 STATES'!$C$10</f>
        <v>398232</v>
      </c>
      <c r="E26" s="1">
        <f>'[3]T3 STATES'!$G$10*1000</f>
        <v>13605000</v>
      </c>
    </row>
    <row r="27" spans="1:5" x14ac:dyDescent="0.2">
      <c r="A27" t="s">
        <v>9</v>
      </c>
      <c r="B27" t="s">
        <v>16</v>
      </c>
      <c r="C27">
        <v>2023</v>
      </c>
      <c r="D27" s="1">
        <f>'[4]T3 STATES'!$C$10*1000</f>
        <v>785000</v>
      </c>
      <c r="E27" s="1">
        <f>'[4]T3 STATES'!$G$10*1000</f>
        <v>28111000</v>
      </c>
    </row>
    <row r="28" spans="1:5" x14ac:dyDescent="0.2">
      <c r="A28" t="s">
        <v>9</v>
      </c>
      <c r="B28" t="s">
        <v>16</v>
      </c>
      <c r="C28">
        <v>2024</v>
      </c>
      <c r="D28" s="1">
        <f>'[5]Table 3'!$C$10*1000</f>
        <v>864983.59574232087</v>
      </c>
      <c r="E28" s="1">
        <f>'[5]Table 3'!$G$10*1000</f>
        <v>31303893.273119476</v>
      </c>
    </row>
    <row r="29" spans="1:5" x14ac:dyDescent="0.2">
      <c r="A29" t="s">
        <v>9</v>
      </c>
      <c r="B29" t="s">
        <v>16</v>
      </c>
      <c r="C29">
        <v>2025</v>
      </c>
      <c r="D29" s="1">
        <f>'[6]Table 3'!$C$10*1000</f>
        <v>1068141.90669987</v>
      </c>
      <c r="E29" s="1">
        <f>'[6]Table 3'!$G$10*1000</f>
        <v>41981767.334042139</v>
      </c>
    </row>
    <row r="30" spans="1:5" x14ac:dyDescent="0.2">
      <c r="A30" t="s">
        <v>10</v>
      </c>
      <c r="B30" t="s">
        <v>17</v>
      </c>
      <c r="C30">
        <v>2019</v>
      </c>
      <c r="D30" s="1">
        <f>'[1]T3 STATES'!$B$9*1000</f>
        <v>488000</v>
      </c>
      <c r="E30" s="1">
        <f>'[1]T3 STATES'!$F$9*1000</f>
        <v>10938000</v>
      </c>
    </row>
    <row r="31" spans="1:5" x14ac:dyDescent="0.2">
      <c r="A31" t="s">
        <v>10</v>
      </c>
      <c r="B31" t="s">
        <v>17</v>
      </c>
      <c r="C31">
        <v>2020</v>
      </c>
      <c r="D31" s="1">
        <f>'[1]T3 STATES'!$C$9*1000</f>
        <v>106000</v>
      </c>
      <c r="E31" s="1">
        <f>'[1]T3 STATES'!$G$9*1000</f>
        <v>2903000</v>
      </c>
    </row>
    <row r="32" spans="1:5" x14ac:dyDescent="0.2">
      <c r="A32" t="s">
        <v>10</v>
      </c>
      <c r="B32" t="s">
        <v>17</v>
      </c>
      <c r="C32">
        <v>2021</v>
      </c>
      <c r="D32" s="1">
        <f>'[2]T3 STATES'!$C$9</f>
        <v>10162</v>
      </c>
      <c r="E32" s="1">
        <f>'[2]T3 STATES'!$G$9*1000</f>
        <v>601733</v>
      </c>
    </row>
    <row r="33" spans="1:5" x14ac:dyDescent="0.2">
      <c r="A33" t="s">
        <v>10</v>
      </c>
      <c r="B33" t="s">
        <v>17</v>
      </c>
      <c r="C33">
        <v>2022</v>
      </c>
      <c r="D33" s="1">
        <f>'[3]T3 STATES'!$C$9</f>
        <v>180553</v>
      </c>
      <c r="E33" s="1">
        <f>'[3]T3 STATES'!$G$9*1000</f>
        <v>5526000</v>
      </c>
    </row>
    <row r="34" spans="1:5" x14ac:dyDescent="0.2">
      <c r="A34" t="s">
        <v>10</v>
      </c>
      <c r="B34" t="s">
        <v>17</v>
      </c>
      <c r="C34">
        <v>2023</v>
      </c>
      <c r="D34" s="1">
        <f>'[4]T3 STATES'!$C$9*1000</f>
        <v>439000</v>
      </c>
      <c r="E34" s="1">
        <f>'[4]T3 STATES'!$G$9*1000</f>
        <v>14062000</v>
      </c>
    </row>
    <row r="35" spans="1:5" x14ac:dyDescent="0.2">
      <c r="A35" t="s">
        <v>10</v>
      </c>
      <c r="B35" t="s">
        <v>17</v>
      </c>
      <c r="C35">
        <v>2024</v>
      </c>
      <c r="D35" s="1">
        <f>'[5]Table 3'!$C$9*1000</f>
        <v>439944.19348563068</v>
      </c>
      <c r="E35" s="1">
        <f>'[5]Table 3'!$G$9*1000</f>
        <v>13591912.894705601</v>
      </c>
    </row>
    <row r="36" spans="1:5" x14ac:dyDescent="0.2">
      <c r="A36" t="s">
        <v>10</v>
      </c>
      <c r="B36" t="s">
        <v>17</v>
      </c>
      <c r="C36">
        <v>2025</v>
      </c>
      <c r="D36" s="1">
        <f>'[6]Table 3'!$C$9*1000</f>
        <v>445409.25640788546</v>
      </c>
      <c r="E36" s="1">
        <f>'[6]Table 3'!$G$9*1000</f>
        <v>14720620.583182361</v>
      </c>
    </row>
    <row r="37" spans="1:5" x14ac:dyDescent="0.2">
      <c r="A37" t="s">
        <v>11</v>
      </c>
      <c r="B37" t="s">
        <v>18</v>
      </c>
      <c r="C37">
        <v>2019</v>
      </c>
      <c r="D37" s="1">
        <f>'[1]T3 STATES'!$B$11*1000</f>
        <v>283000</v>
      </c>
      <c r="E37" s="1">
        <f>'[1]T3 STATES'!$F$11*1000</f>
        <v>4247000</v>
      </c>
    </row>
    <row r="38" spans="1:5" x14ac:dyDescent="0.2">
      <c r="A38" t="s">
        <v>11</v>
      </c>
      <c r="B38" t="s">
        <v>18</v>
      </c>
      <c r="C38">
        <v>2020</v>
      </c>
      <c r="D38" s="1">
        <f>'[1]T3 STATES'!$C$11*1000</f>
        <v>81000</v>
      </c>
      <c r="E38" s="1">
        <f>'[1]T3 STATES'!$G$11*1000</f>
        <v>1362000</v>
      </c>
    </row>
    <row r="39" spans="1:5" x14ac:dyDescent="0.2">
      <c r="A39" t="s">
        <v>11</v>
      </c>
      <c r="B39" t="s">
        <v>18</v>
      </c>
      <c r="C39">
        <v>2021</v>
      </c>
      <c r="D39" s="1">
        <f>'[2]T3 STATES'!$C$11</f>
        <v>5698</v>
      </c>
      <c r="E39" s="1">
        <f>'[2]T3 STATES'!$G$11*1000</f>
        <v>507429</v>
      </c>
    </row>
    <row r="40" spans="1:5" x14ac:dyDescent="0.2">
      <c r="A40" t="s">
        <v>11</v>
      </c>
      <c r="B40" t="s">
        <v>18</v>
      </c>
      <c r="C40">
        <v>2022</v>
      </c>
      <c r="D40" s="1">
        <f>'[3]T3 STATES'!$C$11</f>
        <v>84168</v>
      </c>
      <c r="E40" s="1">
        <f>'[3]T3 STATES'!$G$11*1000</f>
        <v>1354000</v>
      </c>
    </row>
    <row r="41" spans="1:5" x14ac:dyDescent="0.2">
      <c r="A41" t="s">
        <v>11</v>
      </c>
      <c r="B41" t="s">
        <v>18</v>
      </c>
      <c r="C41">
        <v>2023</v>
      </c>
      <c r="D41" s="1">
        <f>'[4]T3 STATES'!$C$11*1000</f>
        <v>207000</v>
      </c>
      <c r="E41" s="1">
        <f>'[4]T3 STATES'!$G$11*1000</f>
        <v>3396000</v>
      </c>
    </row>
    <row r="42" spans="1:5" x14ac:dyDescent="0.2">
      <c r="A42" t="s">
        <v>11</v>
      </c>
      <c r="B42" t="s">
        <v>18</v>
      </c>
      <c r="C42">
        <v>2024</v>
      </c>
      <c r="D42" s="1">
        <f>'[5]Table 3'!$C$11*1000</f>
        <v>253995.28334138496</v>
      </c>
      <c r="E42" s="1">
        <f>'[5]Table 3'!$G$11*1000</f>
        <v>4959421.1524247508</v>
      </c>
    </row>
    <row r="43" spans="1:5" x14ac:dyDescent="0.2">
      <c r="A43" t="s">
        <v>11</v>
      </c>
      <c r="B43" t="s">
        <v>18</v>
      </c>
      <c r="C43">
        <v>2025</v>
      </c>
      <c r="D43" s="1">
        <f>'[6]Table 3'!$C$11*1000</f>
        <v>278632.96193431388</v>
      </c>
      <c r="E43" s="1">
        <f>'[6]Table 3'!$G$11*1000</f>
        <v>5045585.5365629345</v>
      </c>
    </row>
    <row r="44" spans="1:5" x14ac:dyDescent="0.2">
      <c r="A44" t="s">
        <v>12</v>
      </c>
      <c r="B44" t="s">
        <v>19</v>
      </c>
      <c r="C44">
        <v>2019</v>
      </c>
      <c r="D44" s="1">
        <f>'[1]T3 STATES'!$B$12*1000</f>
        <v>299000</v>
      </c>
      <c r="E44" s="1">
        <f>'[1]T3 STATES'!$F$12*1000</f>
        <v>3163000</v>
      </c>
    </row>
    <row r="45" spans="1:5" x14ac:dyDescent="0.2">
      <c r="A45" t="s">
        <v>12</v>
      </c>
      <c r="B45" t="s">
        <v>19</v>
      </c>
      <c r="C45">
        <v>2020</v>
      </c>
      <c r="D45" s="1">
        <f>'[1]T3 STATES'!$C$12*1000</f>
        <v>50000</v>
      </c>
      <c r="E45" s="1">
        <f>'[1]T3 STATES'!$G$12*1000</f>
        <v>749000</v>
      </c>
    </row>
    <row r="46" spans="1:5" x14ac:dyDescent="0.2">
      <c r="A46" t="s">
        <v>12</v>
      </c>
      <c r="B46" t="s">
        <v>19</v>
      </c>
      <c r="C46">
        <v>2021</v>
      </c>
      <c r="D46" s="1">
        <f>'[2]T3 STATES'!$C$12</f>
        <v>5210</v>
      </c>
      <c r="E46" s="1">
        <f>'[2]T3 STATES'!$G$12*1000</f>
        <v>414779</v>
      </c>
    </row>
    <row r="47" spans="1:5" x14ac:dyDescent="0.2">
      <c r="A47" t="s">
        <v>12</v>
      </c>
      <c r="B47" t="s">
        <v>19</v>
      </c>
      <c r="C47">
        <v>2022</v>
      </c>
      <c r="D47" s="1">
        <f>'[3]T3 STATES'!$C$12</f>
        <v>89949</v>
      </c>
      <c r="E47" s="1">
        <f>'[3]T3 STATES'!$G$12*1000</f>
        <v>2534000</v>
      </c>
    </row>
    <row r="48" spans="1:5" x14ac:dyDescent="0.2">
      <c r="A48" t="s">
        <v>12</v>
      </c>
      <c r="B48" t="s">
        <v>19</v>
      </c>
      <c r="C48">
        <v>2023</v>
      </c>
      <c r="D48" s="1">
        <f>'[4]T3 STATES'!$C$12*1000</f>
        <v>191000</v>
      </c>
      <c r="E48" s="1">
        <f>'[4]T3 STATES'!$G$12*1000</f>
        <v>3837000</v>
      </c>
    </row>
    <row r="49" spans="1:5" x14ac:dyDescent="0.2">
      <c r="A49" t="s">
        <v>12</v>
      </c>
      <c r="B49" t="s">
        <v>19</v>
      </c>
      <c r="C49">
        <v>2024</v>
      </c>
      <c r="D49" s="1">
        <f>'[5]Table 3'!$C$12*1000</f>
        <v>221193.64451410534</v>
      </c>
      <c r="E49" s="1">
        <f>'[5]Table 3'!$G$12*1000</f>
        <v>4607551.3325569835</v>
      </c>
    </row>
    <row r="50" spans="1:5" x14ac:dyDescent="0.2">
      <c r="A50" t="s">
        <v>12</v>
      </c>
      <c r="B50" t="s">
        <v>19</v>
      </c>
      <c r="C50">
        <v>2025</v>
      </c>
      <c r="D50" s="1">
        <f>'[6]Table 3'!$C$12*1000</f>
        <v>254650.64012959294</v>
      </c>
      <c r="E50" s="1">
        <f>'[6]Table 3'!$G$12*1000</f>
        <v>4420039.5857927371</v>
      </c>
    </row>
    <row r="51" spans="1:5" x14ac:dyDescent="0.2">
      <c r="A51" t="s">
        <v>13</v>
      </c>
      <c r="B51" t="s">
        <v>20</v>
      </c>
      <c r="C51">
        <v>2019</v>
      </c>
      <c r="D51" s="1">
        <f>'[1]T3 STATES'!$B$13*1000</f>
        <v>270000</v>
      </c>
      <c r="E51" s="1">
        <f>'[1]T3 STATES'!$F$13*1000</f>
        <v>5860000</v>
      </c>
    </row>
    <row r="52" spans="1:5" x14ac:dyDescent="0.2">
      <c r="A52" t="s">
        <v>13</v>
      </c>
      <c r="B52" t="s">
        <v>20</v>
      </c>
      <c r="C52">
        <v>2020</v>
      </c>
      <c r="D52" s="1">
        <f>'[1]T3 STATES'!$C$13*1000</f>
        <v>39000</v>
      </c>
      <c r="E52" s="1">
        <f>'[1]T3 STATES'!$G$13*1000</f>
        <v>964000</v>
      </c>
    </row>
    <row r="53" spans="1:5" x14ac:dyDescent="0.2">
      <c r="A53" t="s">
        <v>13</v>
      </c>
      <c r="B53" t="s">
        <v>20</v>
      </c>
      <c r="C53">
        <v>2021</v>
      </c>
      <c r="D53" s="1">
        <f>'[2]T3 STATES'!$C$13</f>
        <v>4554</v>
      </c>
      <c r="E53" s="1">
        <f>'[2]T3 STATES'!$G$13*1000</f>
        <v>266588</v>
      </c>
    </row>
    <row r="54" spans="1:5" x14ac:dyDescent="0.2">
      <c r="A54" t="s">
        <v>13</v>
      </c>
      <c r="B54" t="s">
        <v>20</v>
      </c>
      <c r="C54">
        <v>2022</v>
      </c>
      <c r="D54" s="1">
        <f>'[3]T3 STATES'!$C$13</f>
        <v>87982</v>
      </c>
      <c r="E54" s="1">
        <f>'[3]T3 STATES'!$G$13*1000</f>
        <v>2037000</v>
      </c>
    </row>
    <row r="55" spans="1:5" x14ac:dyDescent="0.2">
      <c r="A55" t="s">
        <v>13</v>
      </c>
      <c r="B55" t="s">
        <v>20</v>
      </c>
      <c r="C55">
        <v>2023</v>
      </c>
      <c r="D55" s="1">
        <f>'[4]T3 STATES'!$C$13*1000</f>
        <v>179000</v>
      </c>
      <c r="E55" s="1">
        <f>'[4]T3 STATES'!$G$13*1000</f>
        <v>4324000</v>
      </c>
    </row>
    <row r="56" spans="1:5" x14ac:dyDescent="0.2">
      <c r="A56" t="s">
        <v>13</v>
      </c>
      <c r="B56" t="s">
        <v>20</v>
      </c>
      <c r="C56">
        <v>2024</v>
      </c>
      <c r="D56" s="1">
        <f>'[5]Table 3'!$C$13*1000</f>
        <v>214663.31194644552</v>
      </c>
      <c r="E56" s="1">
        <f>'[5]Table 3'!$G$13*1000</f>
        <v>5431068.7566653714</v>
      </c>
    </row>
    <row r="57" spans="1:5" x14ac:dyDescent="0.2">
      <c r="A57" t="s">
        <v>13</v>
      </c>
      <c r="B57" t="s">
        <v>20</v>
      </c>
      <c r="C57">
        <v>2025</v>
      </c>
      <c r="D57" s="1">
        <f>'[6]Table 3'!$C$13*1000</f>
        <v>198543.54527311813</v>
      </c>
      <c r="E57" s="1">
        <f>'[6]Table 3'!$G$13*1000</f>
        <v>5613725.5949506843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Aneri Shah</dc:creator>
  <cp:lastModifiedBy>Aneri Shah</cp:lastModifiedBy>
  <dcterms:created xsi:type="dcterms:W3CDTF">2026-05-31T03:26:25Z</dcterms:created>
  <dcterms:modified xsi:type="dcterms:W3CDTF">2026-05-31T04:20:37Z</dcterms:modified>
</cp:coreProperties>
</file>